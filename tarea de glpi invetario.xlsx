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d5d4b00288f4a/Documents/ESTUDIOS/CURSOS/SISTEMAS INFORMATICOS EUROFORMAC/modulo 1 sistema logico/glpi/"/>
    </mc:Choice>
  </mc:AlternateContent>
  <xr:revisionPtr revIDLastSave="1" documentId="8_{3D3909BF-FEE5-45B8-8FBB-9AF1301CAC90}" xr6:coauthVersionLast="47" xr6:coauthVersionMax="47" xr10:uidLastSave="{57FD9868-2A0A-4E01-ACC1-DF8AB7E451E1}"/>
  <bookViews>
    <workbookView xWindow="-108" yWindow="-108" windowWidth="23256" windowHeight="12456" xr2:uid="{647E53D4-E35E-4FC1-894F-13DB1A981B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</calcChain>
</file>

<file path=xl/sharedStrings.xml><?xml version="1.0" encoding="utf-8"?>
<sst xmlns="http://schemas.openxmlformats.org/spreadsheetml/2006/main" count="110" uniqueCount="85">
  <si>
    <t>ID</t>
  </si>
  <si>
    <t>Nombre del Software</t>
  </si>
  <si>
    <t>Versión</t>
  </si>
  <si>
    <t>Fabricante</t>
  </si>
  <si>
    <t>Categoría</t>
  </si>
  <si>
    <t>Tipo de Licencia</t>
  </si>
  <si>
    <t>Clave de Licencia</t>
  </si>
  <si>
    <t>Nº de Licencias</t>
  </si>
  <si>
    <t>Licencias Usadas</t>
  </si>
  <si>
    <t>Licencias Disponibles</t>
  </si>
  <si>
    <t>Fecha de Compra</t>
  </si>
  <si>
    <t>Fecha de Vencimiento</t>
  </si>
  <si>
    <t>Coste (€)</t>
  </si>
  <si>
    <t>Usuario Asignado</t>
  </si>
  <si>
    <t>Equipo / Dispositivo</t>
  </si>
  <si>
    <t>Sistema Operativo</t>
  </si>
  <si>
    <t>Estado</t>
  </si>
  <si>
    <t>Notas</t>
  </si>
  <si>
    <t>Microsoft 365</t>
  </si>
  <si>
    <t>Microsoft</t>
  </si>
  <si>
    <t>Ofimática</t>
  </si>
  <si>
    <t>Suscripción anual</t>
  </si>
  <si>
    <t>XXXX-XXXX-XXXX-1234</t>
  </si>
  <si>
    <t>Departamento TI</t>
  </si>
  <si>
    <t>Varios</t>
  </si>
  <si>
    <t>Windows 11</t>
  </si>
  <si>
    <t>Activo</t>
  </si>
  <si>
    <t>Renovación automática</t>
  </si>
  <si>
    <t>Adobe Photoshop</t>
  </si>
  <si>
    <t>Adobe</t>
  </si>
  <si>
    <t>Diseño</t>
  </si>
  <si>
    <t>YYYY-YYYY-YYYY-5678</t>
  </si>
  <si>
    <t>Marketing</t>
  </si>
  <si>
    <t>PC-MKT-01</t>
  </si>
  <si>
    <t>AutoCAD</t>
  </si>
  <si>
    <t>Autodesk</t>
  </si>
  <si>
    <t>Ingeniería</t>
  </si>
  <si>
    <t>Perpetua</t>
  </si>
  <si>
    <t>ZZZZ-ZZZZ-ZZZZ-9012</t>
  </si>
  <si>
    <t>PC-ING-02</t>
  </si>
  <si>
    <t>Windows 10</t>
  </si>
  <si>
    <t>Licencia perpetua</t>
  </si>
  <si>
    <t>Slack</t>
  </si>
  <si>
    <t>Última</t>
  </si>
  <si>
    <t>Slack Tech.</t>
  </si>
  <si>
    <t>Comunicación</t>
  </si>
  <si>
    <t>Suscripción mensual</t>
  </si>
  <si>
    <t>AAAA-AAAA-AAAA-3456</t>
  </si>
  <si>
    <t>Toda la empresa</t>
  </si>
  <si>
    <t>Multi-OS</t>
  </si>
  <si>
    <t>Antivirus Bitdefender</t>
  </si>
  <si>
    <t>Bitdefender</t>
  </si>
  <si>
    <t>Seguridad</t>
  </si>
  <si>
    <t>BBBB-BBBB-BBBB-7890</t>
  </si>
  <si>
    <t>Cubre toda la red</t>
  </si>
  <si>
    <t>Marca / Modelo Equipo</t>
  </si>
  <si>
    <t>Tipo de Equipo</t>
  </si>
  <si>
    <t>Procesador (CPU)</t>
  </si>
  <si>
    <t>Memoria RAM (GB)</t>
  </si>
  <si>
    <t>Almacenamiento</t>
  </si>
  <si>
    <t>Tarjeta Gráfica (GPU)</t>
  </si>
  <si>
    <t>Pantalla / Monitor</t>
  </si>
  <si>
    <t>Nº de Serie Hardware</t>
  </si>
  <si>
    <t>Intel Core i5/i7</t>
  </si>
  <si>
    <t>512 GB SSD</t>
  </si>
  <si>
    <t>Integrada</t>
  </si>
  <si>
    <t>24'' Full HD</t>
  </si>
  <si>
    <t>N/A (varios)</t>
  </si>
  <si>
    <t>Dell OptiPlex 7090</t>
  </si>
  <si>
    <t>Sobremesa</t>
  </si>
  <si>
    <t>Intel Core i7-11700</t>
  </si>
  <si>
    <t>1 TB SSD</t>
  </si>
  <si>
    <t>NVIDIA RTX 3060</t>
  </si>
  <si>
    <t>27'' 4K</t>
  </si>
  <si>
    <t>SN-MKT-001</t>
  </si>
  <si>
    <t>HP Z4 G4 Workstation</t>
  </si>
  <si>
    <t>Workstation</t>
  </si>
  <si>
    <t>Intel Xeon W-2235</t>
  </si>
  <si>
    <t>1 TB SSD + 2 TB HDD</t>
  </si>
  <si>
    <t>NVIDIA Quadro RTX 4000</t>
  </si>
  <si>
    <t>32'' 4K</t>
  </si>
  <si>
    <t>SN-ING-002</t>
  </si>
  <si>
    <t>256 GB SSD</t>
  </si>
  <si>
    <t>Servidores y PCs</t>
  </si>
  <si>
    <t>N/A (red completa)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</si>
</sst>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" formatCode="0"/>
    </dxf>
    <dxf>
      <numFmt numFmtId="164" formatCode="#,##0.00\ \€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BC9C1-BC4A-4016-929B-2408EEDEA5A7}" name="InventarioSoftware" displayName="InventarioSoftware" ref="A1:Z6" totalsRowShown="0">
  <autoFilter ref="A1:Z6" xr:uid="{C09BC9C1-BC4A-4016-929B-2408EEDEA5A7}"/>
  <tableColumns count="26">
    <tableColumn id="1" xr3:uid="{0C9A45C4-0E26-444E-B4A9-131D972CB0B8}" name="ID"/>
    <tableColumn id="2" xr3:uid="{80D7E9F2-15E5-4AC3-979D-A67984C350CE}" name="Nombre del Software"/>
    <tableColumn id="3" xr3:uid="{F828F367-FE0D-4D38-AAC1-F5FE279A34A9}" name="Versión"/>
    <tableColumn id="4" xr3:uid="{EC64B067-C899-47C2-86FE-0063C484E854}" name="Fabricante"/>
    <tableColumn id="5" xr3:uid="{09607344-4864-4544-BAE0-3DD04056A81E}" name="Categoría"/>
    <tableColumn id="6" xr3:uid="{12876BEC-50E6-470F-9231-03DECD82BF95}" name="Tipo de Licencia"/>
    <tableColumn id="7" xr3:uid="{1AB086A9-BA64-4DD5-A46F-D01BE195E000}" name="Clave de Licencia"/>
    <tableColumn id="8" xr3:uid="{F205F08F-999E-4ACF-AAD6-53128054AEE3}" name="Nº de Licencias" dataDxfId="8"/>
    <tableColumn id="9" xr3:uid="{682012F4-F673-45B1-BE83-86707BA35B20}" name="Licencias Usadas" dataDxfId="7"/>
    <tableColumn id="10" xr3:uid="{5346D780-12A2-463A-9954-EC6D23866A26}" name="Licencias Disponibles" dataDxfId="6">
      <calculatedColumnFormula>InventarioSoftware[[#This Row],[Nº de Licencias]]-InventarioSoftware[[#This Row],[Licencias Usadas]]</calculatedColumnFormula>
    </tableColumn>
    <tableColumn id="11" xr3:uid="{1439A763-5BA2-4D45-8B7B-9CC61C8BDDB3}" name="Fecha de Compra" dataDxfId="5"/>
    <tableColumn id="12" xr3:uid="{146BA177-E5A7-489E-9809-E050FE9D6DBC}" name="Fecha de Vencimiento" dataDxfId="4"/>
    <tableColumn id="13" xr3:uid="{F640FEB4-4045-43C6-B5FC-167911A9A2F1}" name="Coste (€)" dataDxfId="3"/>
    <tableColumn id="14" xr3:uid="{EA30E10D-E1A1-4286-BA74-866438E20618}" name="Usuario Asignado"/>
    <tableColumn id="15" xr3:uid="{AC66ACF9-74E9-4D8B-BC4B-3EE42DCB0BFC}" name="Equipo / Dispositivo"/>
    <tableColumn id="16" xr3:uid="{4140CB6D-0ADB-4AFD-BCAF-554B81A01E1D}" name="Sistema Operativo"/>
    <tableColumn id="17" xr3:uid="{DA86E8C0-38B0-417A-977F-8BF5C244850D}" name="Estado"/>
    <tableColumn id="18" xr3:uid="{70193AFB-9980-467E-B34F-F5444F25992A}" name="Notas"/>
    <tableColumn id="19" xr3:uid="{D6FCC8DD-B185-4155-94D4-D59986BBDB9B}" name="Marca / Modelo Equipo"/>
    <tableColumn id="20" xr3:uid="{973A646E-B776-4194-9418-497D4DB74A5F}" name="Tipo de Equipo"/>
    <tableColumn id="21" xr3:uid="{9B416156-C78A-4362-B80B-DCE687C8442A}" name="Procesador (CPU)"/>
    <tableColumn id="22" xr3:uid="{22E7CF7C-5378-4D00-AE04-94D376057A9F}" name="Memoria RAM (GB)" dataDxfId="2"/>
    <tableColumn id="23" xr3:uid="{D63CFBB9-D630-4ECC-AFB2-871571F42801}" name="Almacenamiento"/>
    <tableColumn id="24" xr3:uid="{9921C4A6-0ADF-4C7F-8533-81F79BA9D229}" name="Tarjeta Gráfica (GPU)"/>
    <tableColumn id="25" xr3:uid="{99DCE472-F670-4FE3-9BDB-CFFB7023F309}" name="Pantalla / Monitor"/>
    <tableColumn id="26" xr3:uid="{46193A3D-F1E8-4CC9-B6A4-1D4B436CF779}" name="Nº de Serie Hardwa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DAD0-3F59-4C0B-89F3-AED57FAF6040}">
  <dimension ref="A1:Z6"/>
  <sheetViews>
    <sheetView tabSelected="1" topLeftCell="L1" workbookViewId="0">
      <selection activeCell="W4" sqref="W4"/>
    </sheetView>
  </sheetViews>
  <sheetFormatPr baseColWidth="10" defaultRowHeight="14.4" x14ac:dyDescent="0.3"/>
  <cols>
    <col min="1" max="1" width="5" bestFit="1" customWidth="1"/>
    <col min="2" max="2" width="20.77734375" bestFit="1" customWidth="1"/>
    <col min="3" max="3" width="9.44140625" bestFit="1" customWidth="1"/>
    <col min="4" max="4" width="12.21875" bestFit="1" customWidth="1"/>
    <col min="5" max="5" width="12.6640625" bestFit="1" customWidth="1"/>
    <col min="6" max="6" width="17.77734375" bestFit="1" customWidth="1"/>
    <col min="7" max="7" width="20.44140625" bestFit="1" customWidth="1"/>
    <col min="8" max="8" width="16.109375" bestFit="1" customWidth="1"/>
    <col min="9" max="9" width="17.5546875" bestFit="1" customWidth="1"/>
    <col min="10" max="10" width="21.44140625" bestFit="1" customWidth="1"/>
    <col min="11" max="11" width="17.6640625" bestFit="1" customWidth="1"/>
    <col min="12" max="12" width="21.6640625" bestFit="1" customWidth="1"/>
    <col min="13" max="13" width="10.6640625" bestFit="1" customWidth="1"/>
    <col min="14" max="14" width="17.44140625" bestFit="1" customWidth="1"/>
    <col min="15" max="15" width="19.77734375" bestFit="1" customWidth="1"/>
    <col min="16" max="16" width="18.77734375" bestFit="1" customWidth="1"/>
    <col min="17" max="17" width="8.88671875" bestFit="1" customWidth="1"/>
    <col min="18" max="18" width="19.88671875" bestFit="1" customWidth="1"/>
    <col min="21" max="21" width="20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</row>
    <row r="2" spans="1:26" x14ac:dyDescent="0.3">
      <c r="A2">
        <v>1</v>
      </c>
      <c r="B2" t="s">
        <v>18</v>
      </c>
      <c r="C2">
        <v>2024</v>
      </c>
      <c r="D2" t="s">
        <v>19</v>
      </c>
      <c r="E2" t="s">
        <v>20</v>
      </c>
      <c r="F2" t="s">
        <v>21</v>
      </c>
      <c r="G2" t="s">
        <v>22</v>
      </c>
      <c r="H2" s="3">
        <v>10</v>
      </c>
      <c r="I2" s="3">
        <v>7</v>
      </c>
      <c r="J2" s="3">
        <f>InventarioSoftware[[#This Row],[Nº de Licencias]]-InventarioSoftware[[#This Row],[Licencias Usadas]]</f>
        <v>3</v>
      </c>
      <c r="K2" s="1">
        <v>45672</v>
      </c>
      <c r="L2" s="1">
        <v>46037</v>
      </c>
      <c r="M2" s="2">
        <v>1200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24</v>
      </c>
      <c r="T2" t="s">
        <v>24</v>
      </c>
      <c r="U2" t="s">
        <v>63</v>
      </c>
      <c r="V2" s="3">
        <v>16</v>
      </c>
      <c r="W2" t="s">
        <v>64</v>
      </c>
      <c r="X2" t="s">
        <v>65</v>
      </c>
      <c r="Y2" t="s">
        <v>66</v>
      </c>
      <c r="Z2" t="s">
        <v>67</v>
      </c>
    </row>
    <row r="3" spans="1:26" x14ac:dyDescent="0.3">
      <c r="A3">
        <v>2</v>
      </c>
      <c r="B3" t="s">
        <v>28</v>
      </c>
      <c r="C3">
        <v>2024</v>
      </c>
      <c r="D3" t="s">
        <v>29</v>
      </c>
      <c r="E3" t="s">
        <v>30</v>
      </c>
      <c r="F3" t="s">
        <v>21</v>
      </c>
      <c r="G3" t="s">
        <v>31</v>
      </c>
      <c r="H3" s="3">
        <v>5</v>
      </c>
      <c r="I3" s="3">
        <v>3</v>
      </c>
      <c r="J3" s="3">
        <f>InventarioSoftware[[#This Row],[Nº de Licencias]]-InventarioSoftware[[#This Row],[Licencias Usadas]]</f>
        <v>2</v>
      </c>
      <c r="K3" s="1">
        <v>45726</v>
      </c>
      <c r="L3" s="1">
        <v>46091</v>
      </c>
      <c r="M3" s="2">
        <v>600</v>
      </c>
      <c r="N3" t="s">
        <v>32</v>
      </c>
      <c r="O3" t="s">
        <v>33</v>
      </c>
      <c r="P3" t="s">
        <v>25</v>
      </c>
      <c r="Q3" t="s">
        <v>26</v>
      </c>
      <c r="S3" t="s">
        <v>68</v>
      </c>
      <c r="T3" t="s">
        <v>69</v>
      </c>
      <c r="U3" t="s">
        <v>70</v>
      </c>
      <c r="V3" s="3">
        <v>32</v>
      </c>
      <c r="W3" t="s">
        <v>71</v>
      </c>
      <c r="X3" t="s">
        <v>72</v>
      </c>
      <c r="Y3" t="s">
        <v>73</v>
      </c>
      <c r="Z3" t="s">
        <v>74</v>
      </c>
    </row>
    <row r="4" spans="1:26" x14ac:dyDescent="0.3">
      <c r="A4">
        <v>3</v>
      </c>
      <c r="B4" t="s">
        <v>34</v>
      </c>
      <c r="C4">
        <v>2024</v>
      </c>
      <c r="D4" t="s">
        <v>35</v>
      </c>
      <c r="E4" t="s">
        <v>36</v>
      </c>
      <c r="F4" t="s">
        <v>37</v>
      </c>
      <c r="G4" t="s">
        <v>38</v>
      </c>
      <c r="H4" s="3">
        <v>2</v>
      </c>
      <c r="I4" s="3">
        <v>2</v>
      </c>
      <c r="J4" s="3">
        <f>InventarioSoftware[[#This Row],[Nº de Licencias]]-InventarioSoftware[[#This Row],[Licencias Usadas]]</f>
        <v>0</v>
      </c>
      <c r="K4" s="1">
        <v>45463</v>
      </c>
      <c r="L4" s="1"/>
      <c r="M4" s="2">
        <v>3500</v>
      </c>
      <c r="N4" t="s">
        <v>36</v>
      </c>
      <c r="O4" t="s">
        <v>39</v>
      </c>
      <c r="P4" t="s">
        <v>40</v>
      </c>
      <c r="Q4" t="s">
        <v>26</v>
      </c>
      <c r="R4" t="s">
        <v>41</v>
      </c>
      <c r="S4" t="s">
        <v>75</v>
      </c>
      <c r="T4" t="s">
        <v>76</v>
      </c>
      <c r="U4" t="s">
        <v>77</v>
      </c>
      <c r="V4" s="3">
        <v>64</v>
      </c>
      <c r="W4" t="s">
        <v>78</v>
      </c>
      <c r="X4" t="s">
        <v>79</v>
      </c>
      <c r="Y4" t="s">
        <v>80</v>
      </c>
      <c r="Z4" t="s">
        <v>81</v>
      </c>
    </row>
    <row r="5" spans="1:26" x14ac:dyDescent="0.3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s="3">
        <v>25</v>
      </c>
      <c r="I5" s="3">
        <v>20</v>
      </c>
      <c r="J5" s="3">
        <f>InventarioSoftware[[#This Row],[Nº de Licencias]]-InventarioSoftware[[#This Row],[Licencias Usadas]]</f>
        <v>5</v>
      </c>
      <c r="K5" s="1">
        <v>45901</v>
      </c>
      <c r="L5" s="1">
        <v>46266</v>
      </c>
      <c r="M5" s="2">
        <v>250</v>
      </c>
      <c r="N5" t="s">
        <v>48</v>
      </c>
      <c r="O5" t="s">
        <v>24</v>
      </c>
      <c r="P5" t="s">
        <v>49</v>
      </c>
      <c r="Q5" t="s">
        <v>26</v>
      </c>
      <c r="S5" t="s">
        <v>24</v>
      </c>
      <c r="T5" t="s">
        <v>24</v>
      </c>
      <c r="U5" t="s">
        <v>24</v>
      </c>
      <c r="V5" s="3">
        <v>8</v>
      </c>
      <c r="W5" t="s">
        <v>82</v>
      </c>
      <c r="X5" t="s">
        <v>65</v>
      </c>
      <c r="Y5" t="s">
        <v>24</v>
      </c>
      <c r="Z5" t="s">
        <v>67</v>
      </c>
    </row>
    <row r="6" spans="1:26" x14ac:dyDescent="0.3">
      <c r="A6">
        <v>5</v>
      </c>
      <c r="B6" t="s">
        <v>50</v>
      </c>
      <c r="C6">
        <v>2025</v>
      </c>
      <c r="D6" t="s">
        <v>51</v>
      </c>
      <c r="E6" t="s">
        <v>52</v>
      </c>
      <c r="F6" t="s">
        <v>21</v>
      </c>
      <c r="G6" t="s">
        <v>53</v>
      </c>
      <c r="H6" s="3">
        <v>50</v>
      </c>
      <c r="I6" s="3">
        <v>45</v>
      </c>
      <c r="J6" s="3">
        <f>InventarioSoftware[[#This Row],[Nº de Licencias]]-InventarioSoftware[[#This Row],[Licencias Usadas]]</f>
        <v>5</v>
      </c>
      <c r="K6" s="1">
        <v>45689</v>
      </c>
      <c r="L6" s="1">
        <v>46054</v>
      </c>
      <c r="M6" s="2">
        <v>900</v>
      </c>
      <c r="N6" t="s">
        <v>23</v>
      </c>
      <c r="O6" t="s">
        <v>24</v>
      </c>
      <c r="P6" t="s">
        <v>25</v>
      </c>
      <c r="Q6" t="s">
        <v>26</v>
      </c>
      <c r="R6" t="s">
        <v>54</v>
      </c>
      <c r="S6" t="s">
        <v>24</v>
      </c>
      <c r="T6" t="s">
        <v>83</v>
      </c>
      <c r="U6" t="s">
        <v>24</v>
      </c>
      <c r="V6" s="3">
        <v>16</v>
      </c>
      <c r="W6" t="s">
        <v>24</v>
      </c>
      <c r="X6" t="s">
        <v>65</v>
      </c>
      <c r="Y6" t="s">
        <v>24</v>
      </c>
      <c r="Z6" t="s">
        <v>84</v>
      </c>
    </row>
  </sheetData>
  <conditionalFormatting sqref="Q2:Q100">
    <cfRule type="cellIs" dxfId="1" priority="1" operator="equal">
      <formula>"Activo"</formula>
    </cfRule>
    <cfRule type="cellIs" dxfId="0" priority="2" operator="equal">
      <formula>"Inactivo"</formula>
    </cfRule>
  </conditionalFormatting>
  <dataValidations count="2">
    <dataValidation type="list" allowBlank="1" showInputMessage="1" showErrorMessage="1" sqref="Q2:Q100" xr:uid="{1CA55BDA-F6E6-4A36-9D5B-C802734BC7A5}">
      <formula1>"Activo,Inactivo,Caducado,En revisión"</formula1>
    </dataValidation>
    <dataValidation type="list" allowBlank="1" showInputMessage="1" showErrorMessage="1" sqref="F2:F100" xr:uid="{257DA6D2-9466-4DC0-B066-F4BBAA93519F}">
      <formula1>"Perpetua,Suscripción mensual,Suscripción anual,OEM,Freeware,Open Source,Prueba"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Morales de los rios</dc:creator>
  <cp:lastModifiedBy>Andrés Morales de los rios</cp:lastModifiedBy>
  <dcterms:created xsi:type="dcterms:W3CDTF">2026-04-27T07:49:28Z</dcterms:created>
  <dcterms:modified xsi:type="dcterms:W3CDTF">2026-05-04T08:41:09Z</dcterms:modified>
</cp:coreProperties>
</file>